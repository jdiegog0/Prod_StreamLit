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python_scripts\"/>
    </mc:Choice>
  </mc:AlternateContent>
  <xr:revisionPtr revIDLastSave="0" documentId="13_ncr:1_{0DB22E49-1385-4C3F-B806-269A4336DDBF}" xr6:coauthVersionLast="47" xr6:coauthVersionMax="47" xr10:uidLastSave="{00000000-0000-0000-0000-000000000000}"/>
  <bookViews>
    <workbookView xWindow="28680" yWindow="-120" windowWidth="29040" windowHeight="15720" activeTab="1" xr2:uid="{6618469B-B568-4E96-867C-0BC14C70DEE3}"/>
  </bookViews>
  <sheets>
    <sheet name="Codes" sheetId="2" r:id="rId1"/>
    <sheet name="RawData" sheetId="1" r:id="rId2"/>
  </sheets>
  <definedNames>
    <definedName name="_xlnm._FilterDatabase" localSheetId="1" hidden="1">RawData!$A$1:$P$6</definedName>
    <definedName name="Codes">Codes!$A$1:$E$36</definedName>
    <definedName name="Data">RawData!$A$1:$P$6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 i="1" l="1"/>
  <c r="N4" i="1"/>
  <c r="O4" i="1"/>
  <c r="M2" i="1" l="1"/>
  <c r="M3" i="1"/>
  <c r="M5" i="1"/>
  <c r="M6" i="1"/>
  <c r="O2" i="1"/>
  <c r="O3" i="1"/>
  <c r="O5" i="1"/>
  <c r="O6" i="1"/>
  <c r="N2" i="1"/>
  <c r="N3" i="1"/>
  <c r="N5" i="1"/>
  <c r="N6" i="1"/>
</calcChain>
</file>

<file path=xl/sharedStrings.xml><?xml version="1.0" encoding="utf-8"?>
<sst xmlns="http://schemas.openxmlformats.org/spreadsheetml/2006/main" count="211" uniqueCount="117">
  <si>
    <t>WBS</t>
  </si>
  <si>
    <t>Ticket</t>
  </si>
  <si>
    <t>Description</t>
  </si>
  <si>
    <t>Service Type</t>
  </si>
  <si>
    <t>Support Level</t>
  </si>
  <si>
    <t>StartDate</t>
  </si>
  <si>
    <t>EndDate</t>
  </si>
  <si>
    <t>Effort</t>
  </si>
  <si>
    <t>Service</t>
  </si>
  <si>
    <t>L2</t>
  </si>
  <si>
    <t>L3</t>
  </si>
  <si>
    <t>L1</t>
  </si>
  <si>
    <t>Low</t>
  </si>
  <si>
    <t>Group</t>
  </si>
  <si>
    <t>Trivial</t>
  </si>
  <si>
    <t>Critical</t>
  </si>
  <si>
    <t>BEMM1</t>
  </si>
  <si>
    <t>CFPN1</t>
  </si>
  <si>
    <t>CRGC</t>
  </si>
  <si>
    <t>DJOO</t>
  </si>
  <si>
    <t>HELS</t>
  </si>
  <si>
    <t>1-0000033756-5</t>
  </si>
  <si>
    <t>Kademi</t>
  </si>
  <si>
    <t>CFS</t>
  </si>
  <si>
    <t>WebFocus</t>
  </si>
  <si>
    <t>Change</t>
  </si>
  <si>
    <t>ID</t>
  </si>
  <si>
    <t>Closure Classification Reason</t>
  </si>
  <si>
    <t>Request Type</t>
  </si>
  <si>
    <t>Minor Functional Enhancement</t>
  </si>
  <si>
    <t>User request to the modification of an application to keep it usable in a changed or changing environment. This includes adding, removing or modifying features, business rules, work patterns and government policies.</t>
  </si>
  <si>
    <t>Routine Application Configuration of settings</t>
  </si>
  <si>
    <t>Routine activities related to modifying configuration settings and/or sites content management. Examples: Update Server/DBs IPs, proxies, shells, schedules, job settings, content webpage updates, etc.</t>
  </si>
  <si>
    <t>Minor Technical Enhancement</t>
  </si>
  <si>
    <t>Change request to improve the performance, maintainability, or other attributes of an application, preserving its functionality. Change request to correct latent application faults before they are manifiested as failures for technical debt.</t>
  </si>
  <si>
    <t>Bug Fix (Corrective)</t>
  </si>
  <si>
    <t>Change request to correct application faults due to an incorrectly coded/designed application component. Resolving a bug includes meetings, design/build/test/release, etc.</t>
  </si>
  <si>
    <t>Modify Account Privileges</t>
  </si>
  <si>
    <t>Activities related to modifying privileges, access levels  or profile information to existing user accounts.
**this closure classification includes a Email- Distribution List (add/remove/modify)**</t>
  </si>
  <si>
    <t>Create Account</t>
  </si>
  <si>
    <t>Activation / Creation of a new account or a software license for a user on a specific application.</t>
  </si>
  <si>
    <t>Reset Password</t>
  </si>
  <si>
    <t>Password reset requests for existing user accounts.</t>
  </si>
  <si>
    <t>Install/Configure/Support Non-productive Environments</t>
  </si>
  <si>
    <t>Provide on demand assistance and/or support to UAT/Dev Environments.</t>
  </si>
  <si>
    <t>Create/Update Documentation</t>
  </si>
  <si>
    <t>Activities related to creating or updating application documentation, wikis, user guides or other customer facing document.</t>
  </si>
  <si>
    <t>How-to/ FAQs</t>
  </si>
  <si>
    <t>Simple user inquiries requiring guideance / assistance on how to use a software / application or how to do certain activity etc. FAQs, Request resolved by end user, not able to reproduce, or user didn't respond (3 Strikes)</t>
  </si>
  <si>
    <t>Job/Batch Queue Execution Request</t>
  </si>
  <si>
    <t>Service Request to re-run a Job/Batch Queue (not an incident). Includes data analysis to confirm accuracy of business data.</t>
  </si>
  <si>
    <t>Install/Configure Client-side Application Components</t>
  </si>
  <si>
    <t>A move, upgrade, configuration or reinstall of an application on the end user PC environment.</t>
  </si>
  <si>
    <t>Data Load / Change</t>
  </si>
  <si>
    <t>Service request to modify data directly in DB or thorugh application front end (not related to a Data Fix)</t>
  </si>
  <si>
    <t>User Assistance / Training</t>
  </si>
  <si>
    <t>User assistance to analyze functionality,business rule and/or data or understand a particular situation within the application which may require some investigation. No documentation is delivered.</t>
  </si>
  <si>
    <t>Business Process Analysis Document</t>
  </si>
  <si>
    <t>Service request to analyze and documment a business process, set of business fules  or application components to provide an impact analysis /recommendation in case of modification. What if scenarios.</t>
  </si>
  <si>
    <t>Reports or Data extraction</t>
  </si>
  <si>
    <t>User request a data report, extracted directly from the data base or a formatted report for data and information.</t>
  </si>
  <si>
    <t>Install/Configure Server-side Application Components</t>
  </si>
  <si>
    <t>Server side support to test, move, upgrade, configure or reinstall application components on production environments.</t>
  </si>
  <si>
    <t>Application Monitoring and Log Analysis</t>
  </si>
  <si>
    <t>Activities related with the validation of monitoring dashboards or metrics (not related to an incident).</t>
  </si>
  <si>
    <t>Account (Access Remove)</t>
  </si>
  <si>
    <t>Removal of an existing account for a user on a specific application.</t>
  </si>
  <si>
    <t>Data not found</t>
  </si>
  <si>
    <t>Incident caused by missing data, requiring a back-end data fix/backend load. Missing data in the database is causing technical problem in the application.</t>
  </si>
  <si>
    <t>Incident</t>
  </si>
  <si>
    <t>Application Defect (Bug/Design)</t>
  </si>
  <si>
    <t>Recovery activities due to an application execution exception derived  as a result of an incorrectly coded/designed application component.</t>
  </si>
  <si>
    <t>Unreachable or Unavailable External Service/Component</t>
  </si>
  <si>
    <t>External Service or Component doesn't provide the requested service due to network accessibility (unreachable) or due to external component availability and responsiveness (unavailable). Error codes or time-outs will be triggered to execute corrective actions</t>
  </si>
  <si>
    <t>Data Integrity inconsistency</t>
  </si>
  <si>
    <t>Incident related to specific data or value range instance such as a type constraint is not met requiring a data fix . Example: must be a number, invalid dates, unexpected value, not null, not duplicated</t>
  </si>
  <si>
    <t>Application Component Disconnect</t>
  </si>
  <si>
    <t>Application down incident caused by a disconnected application component such  as corrupt files, application process died, failure to compile/executable causing problems, etc. User is getting 404 or similar message.</t>
  </si>
  <si>
    <t>Error (Interface Protocol Failure)</t>
  </si>
  <si>
    <t>Incident related to the interface run time execution . Examples; stopped jobs due to scheduling or configuration issues or unexpected data or error codes, unexpected or incomplete sequence of events.
**This closure classification includes Error(Interface - Configuration/Scheduling), Error (Configuration)**</t>
  </si>
  <si>
    <t>Runtime Error (Process/Resource Lock/Overflow)</t>
  </si>
  <si>
    <t xml:space="preserve">
Incident caused by a process/resource locking a table, file object, etc.
**This closure classification includes execution intermitencies caused by unkown reasons.**</t>
  </si>
  <si>
    <t>Operative activity not followed</t>
  </si>
  <si>
    <t>Incident caused by a user or support member not following an expected operative procedure. Examples: typo, misunderstanding of functionalities or sequence of activities not followed.</t>
  </si>
  <si>
    <t>Data Referential Integrity Inconsistency</t>
  </si>
  <si>
    <t>Incident related to corrupt primary key or broken referential integrity relationship requiring a data fix to reenable the constraint.</t>
  </si>
  <si>
    <t>Database / Storage Failure</t>
  </si>
  <si>
    <t>Error found concerning backup/stopped jobs within an interface/job/batch queue due to Database or Storage availability</t>
  </si>
  <si>
    <t>Application Performance Issue</t>
  </si>
  <si>
    <t>Activities to analyze Performance Issues/Deviations, application not down.</t>
  </si>
  <si>
    <t>Platform Failure (AppServer, Middleware)</t>
  </si>
  <si>
    <t>Error caused by a failure in the App Server or Middleware software and will require a patch / change request or workaround to be resolved. Appserver includes Jboss, Websphere, etc.</t>
  </si>
  <si>
    <t>End User Computing Device Failure</t>
  </si>
  <si>
    <t>Error caused by the incompatibility or failed deployment to an EUC ( End User Computing) device such as tablet, Desktop, Virtual Desktop among others.</t>
  </si>
  <si>
    <t>Network Failure</t>
  </si>
  <si>
    <t>Error related to the network availability and/or performance</t>
  </si>
  <si>
    <t>Issues found in Application Monitoring</t>
  </si>
  <si>
    <t>Incident detected during monitoring activities.  Alerts reporting an incomplete job execution or metrics out of the defined thresholds.</t>
  </si>
  <si>
    <t>Server Runtime exeption</t>
  </si>
  <si>
    <t>Incident caused by a resource overflow, deadlock or time-out on the sever side (Unix, Windows, Linux etc) . Not app server like (Websphere, Jboss)</t>
  </si>
  <si>
    <t>StartMonth</t>
  </si>
  <si>
    <t>EndMonth</t>
  </si>
  <si>
    <t>Priority raw</t>
  </si>
  <si>
    <t>Quarter</t>
  </si>
  <si>
    <t>Category</t>
  </si>
  <si>
    <t>Priority Company</t>
  </si>
  <si>
    <t>Assigned To</t>
  </si>
  <si>
    <t>TI0001</t>
  </si>
  <si>
    <t>TI0002</t>
  </si>
  <si>
    <t>CRE-0001</t>
  </si>
  <si>
    <t>CRE-0002</t>
  </si>
  <si>
    <t>CRE-0003</t>
  </si>
  <si>
    <t>TI0001: Show Task Reference Report</t>
  </si>
  <si>
    <t>TI0002: Reports need to be refreshed</t>
  </si>
  <si>
    <t>Allow access</t>
  </si>
  <si>
    <t xml:space="preserve">Southwest Account needs cart cleared </t>
  </si>
  <si>
    <t xml:space="preserve">Pentair Order needs to be canceled per account team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</si>
</sst>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
  </numFmts>
  <fonts count="5" x14ac:knownFonts="1">
    <font>
      <sz val="11"/>
      <color theme="1"/>
      <name val="Aptos Narrow"/>
      <family val="2"/>
      <scheme val="minor"/>
    </font>
    <font>
      <b/>
      <sz val="11"/>
      <color theme="1"/>
      <name val="Aptos Narrow"/>
      <family val="2"/>
      <scheme val="minor"/>
    </font>
    <font>
      <sz val="8"/>
      <name val="Aptos Narrow"/>
      <family val="2"/>
      <scheme val="minor"/>
    </font>
    <font>
      <b/>
      <sz val="10"/>
      <color theme="1"/>
      <name val="Arial"/>
      <family val="2"/>
    </font>
    <font>
      <sz val="10"/>
      <color theme="1"/>
      <name val="Arial"/>
      <family val="2"/>
    </font>
  </fonts>
  <fills count="4">
    <fill>
      <patternFill patternType="none"/>
    </fill>
    <fill>
      <patternFill patternType="gray125"/>
    </fill>
    <fill>
      <patternFill patternType="solid">
        <fgColor theme="2"/>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0" fillId="2" borderId="0" xfId="0" applyFill="1"/>
    <xf numFmtId="0" fontId="0" fillId="2" borderId="0" xfId="0" applyFill="1" applyAlignment="1">
      <alignment horizontal="center"/>
    </xf>
    <xf numFmtId="0" fontId="0" fillId="3" borderId="0" xfId="0" applyFill="1"/>
    <xf numFmtId="0" fontId="0" fillId="3" borderId="0" xfId="0" applyFill="1" applyAlignment="1">
      <alignment horizontal="center"/>
    </xf>
    <xf numFmtId="0" fontId="3" fillId="0" borderId="0" xfId="0" applyFont="1"/>
    <xf numFmtId="164" fontId="3" fillId="0" borderId="0" xfId="0" applyNumberFormat="1" applyFont="1"/>
    <xf numFmtId="2" fontId="3" fillId="0" borderId="0" xfId="0" applyNumberFormat="1" applyFont="1"/>
    <xf numFmtId="0" fontId="4" fillId="0" borderId="0" xfId="0" applyFont="1"/>
    <xf numFmtId="164" fontId="4" fillId="0" borderId="0" xfId="0" applyNumberFormat="1" applyFont="1"/>
    <xf numFmtId="2" fontId="4" fillId="0" borderId="0" xfId="0" applyNumberFormat="1" applyFont="1"/>
  </cellXfs>
  <cellStyles count="1">
    <cellStyle name="Normal" xfId="0" builtinId="0"/>
  </cellStyles>
  <dxfs count="0"/>
  <tableStyles count="0" defaultTableStyle="TableStyleMedium2" defaultPivotStyle="PivotStyleLight16"/>
  <colors>
    <mruColors>
      <color rgb="FFCCCCFF"/>
      <color rgb="FF0000CC"/>
      <color rgb="FF00CC99"/>
      <color rgb="FF00FFCC"/>
      <color rgb="FF0099FF"/>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54825-EC3B-4A5E-970B-6386BA1103F2}">
  <dimension ref="A1:E36"/>
  <sheetViews>
    <sheetView zoomScaleNormal="100" workbookViewId="0">
      <selection activeCell="B4" sqref="B4"/>
    </sheetView>
  </sheetViews>
  <sheetFormatPr defaultRowHeight="14.5" x14ac:dyDescent="0.35"/>
  <cols>
    <col min="1" max="1" width="6.6328125" customWidth="1"/>
    <col min="2" max="2" width="51.90625" customWidth="1"/>
    <col min="3" max="3" width="147.26953125" customWidth="1"/>
    <col min="4" max="4" width="12.90625" style="3" bestFit="1" customWidth="1"/>
    <col min="5" max="5" width="12.81640625" bestFit="1" customWidth="1"/>
  </cols>
  <sheetData>
    <row r="1" spans="1:5" x14ac:dyDescent="0.35">
      <c r="A1" s="1" t="s">
        <v>26</v>
      </c>
      <c r="B1" s="1" t="s">
        <v>27</v>
      </c>
      <c r="C1" s="1" t="s">
        <v>2</v>
      </c>
      <c r="D1" s="2" t="s">
        <v>4</v>
      </c>
      <c r="E1" s="1" t="s">
        <v>28</v>
      </c>
    </row>
    <row r="2" spans="1:5" x14ac:dyDescent="0.35">
      <c r="A2" s="4">
        <v>8</v>
      </c>
      <c r="B2" s="4" t="s">
        <v>29</v>
      </c>
      <c r="C2" s="4" t="s">
        <v>30</v>
      </c>
      <c r="D2" s="5" t="s">
        <v>10</v>
      </c>
      <c r="E2" s="4" t="s">
        <v>25</v>
      </c>
    </row>
    <row r="3" spans="1:5" x14ac:dyDescent="0.35">
      <c r="A3" s="4">
        <v>34</v>
      </c>
      <c r="B3" s="4" t="s">
        <v>31</v>
      </c>
      <c r="C3" s="4" t="s">
        <v>32</v>
      </c>
      <c r="D3" s="5" t="s">
        <v>10</v>
      </c>
      <c r="E3" s="4" t="s">
        <v>25</v>
      </c>
    </row>
    <row r="4" spans="1:5" x14ac:dyDescent="0.35">
      <c r="A4" s="4">
        <v>90</v>
      </c>
      <c r="B4" s="4" t="s">
        <v>33</v>
      </c>
      <c r="C4" s="4" t="s">
        <v>34</v>
      </c>
      <c r="D4" s="5" t="s">
        <v>10</v>
      </c>
      <c r="E4" s="4" t="s">
        <v>25</v>
      </c>
    </row>
    <row r="5" spans="1:5" x14ac:dyDescent="0.35">
      <c r="A5" s="4">
        <v>94</v>
      </c>
      <c r="B5" s="4" t="s">
        <v>35</v>
      </c>
      <c r="C5" s="4" t="s">
        <v>36</v>
      </c>
      <c r="D5" s="5" t="s">
        <v>10</v>
      </c>
      <c r="E5" s="4" t="s">
        <v>25</v>
      </c>
    </row>
    <row r="6" spans="1:5" x14ac:dyDescent="0.35">
      <c r="A6" s="6">
        <v>1</v>
      </c>
      <c r="B6" s="6" t="s">
        <v>37</v>
      </c>
      <c r="C6" s="6" t="s">
        <v>38</v>
      </c>
      <c r="D6" s="7" t="s">
        <v>11</v>
      </c>
      <c r="E6" s="6" t="s">
        <v>8</v>
      </c>
    </row>
    <row r="7" spans="1:5" x14ac:dyDescent="0.35">
      <c r="A7" s="6">
        <v>2</v>
      </c>
      <c r="B7" s="6" t="s">
        <v>39</v>
      </c>
      <c r="C7" s="6" t="s">
        <v>40</v>
      </c>
      <c r="D7" s="7" t="s">
        <v>11</v>
      </c>
      <c r="E7" s="6" t="s">
        <v>8</v>
      </c>
    </row>
    <row r="8" spans="1:5" x14ac:dyDescent="0.35">
      <c r="A8" s="6">
        <v>3</v>
      </c>
      <c r="B8" s="6" t="s">
        <v>41</v>
      </c>
      <c r="C8" s="6" t="s">
        <v>42</v>
      </c>
      <c r="D8" s="7" t="s">
        <v>11</v>
      </c>
      <c r="E8" s="6" t="s">
        <v>8</v>
      </c>
    </row>
    <row r="9" spans="1:5" x14ac:dyDescent="0.35">
      <c r="A9" s="6">
        <v>5</v>
      </c>
      <c r="B9" s="6" t="s">
        <v>43</v>
      </c>
      <c r="C9" s="6" t="s">
        <v>44</v>
      </c>
      <c r="D9" s="7" t="s">
        <v>9</v>
      </c>
      <c r="E9" s="6" t="s">
        <v>8</v>
      </c>
    </row>
    <row r="10" spans="1:5" x14ac:dyDescent="0.35">
      <c r="A10" s="6">
        <v>21</v>
      </c>
      <c r="B10" s="6" t="s">
        <v>45</v>
      </c>
      <c r="C10" s="6" t="s">
        <v>46</v>
      </c>
      <c r="D10" s="7" t="s">
        <v>9</v>
      </c>
      <c r="E10" s="6" t="s">
        <v>8</v>
      </c>
    </row>
    <row r="11" spans="1:5" x14ac:dyDescent="0.35">
      <c r="A11" s="6">
        <v>22</v>
      </c>
      <c r="B11" s="6" t="s">
        <v>47</v>
      </c>
      <c r="C11" s="6" t="s">
        <v>48</v>
      </c>
      <c r="D11" s="7" t="s">
        <v>9</v>
      </c>
      <c r="E11" s="6" t="s">
        <v>8</v>
      </c>
    </row>
    <row r="12" spans="1:5" x14ac:dyDescent="0.35">
      <c r="A12" s="6">
        <v>23</v>
      </c>
      <c r="B12" s="6" t="s">
        <v>49</v>
      </c>
      <c r="C12" s="6" t="s">
        <v>50</v>
      </c>
      <c r="D12" s="7" t="s">
        <v>9</v>
      </c>
      <c r="E12" s="6" t="s">
        <v>8</v>
      </c>
    </row>
    <row r="13" spans="1:5" x14ac:dyDescent="0.35">
      <c r="A13" s="6">
        <v>26</v>
      </c>
      <c r="B13" s="6" t="s">
        <v>51</v>
      </c>
      <c r="C13" s="6" t="s">
        <v>52</v>
      </c>
      <c r="D13" s="7" t="s">
        <v>9</v>
      </c>
      <c r="E13" s="6" t="s">
        <v>8</v>
      </c>
    </row>
    <row r="14" spans="1:5" x14ac:dyDescent="0.35">
      <c r="A14" s="6">
        <v>27</v>
      </c>
      <c r="B14" s="6" t="s">
        <v>53</v>
      </c>
      <c r="C14" s="6" t="s">
        <v>54</v>
      </c>
      <c r="D14" s="7" t="s">
        <v>9</v>
      </c>
      <c r="E14" s="6" t="s">
        <v>8</v>
      </c>
    </row>
    <row r="15" spans="1:5" x14ac:dyDescent="0.35">
      <c r="A15" s="6">
        <v>30</v>
      </c>
      <c r="B15" s="6" t="s">
        <v>55</v>
      </c>
      <c r="C15" s="6" t="s">
        <v>56</v>
      </c>
      <c r="D15" s="7" t="s">
        <v>9</v>
      </c>
      <c r="E15" s="6" t="s">
        <v>8</v>
      </c>
    </row>
    <row r="16" spans="1:5" x14ac:dyDescent="0.35">
      <c r="A16" s="6">
        <v>31</v>
      </c>
      <c r="B16" s="6" t="s">
        <v>57</v>
      </c>
      <c r="C16" s="6" t="s">
        <v>58</v>
      </c>
      <c r="D16" s="7" t="s">
        <v>9</v>
      </c>
      <c r="E16" s="6" t="s">
        <v>8</v>
      </c>
    </row>
    <row r="17" spans="1:5" x14ac:dyDescent="0.35">
      <c r="A17" s="6">
        <v>32</v>
      </c>
      <c r="B17" s="6" t="s">
        <v>59</v>
      </c>
      <c r="C17" s="6" t="s">
        <v>60</v>
      </c>
      <c r="D17" s="7" t="s">
        <v>9</v>
      </c>
      <c r="E17" s="6" t="s">
        <v>8</v>
      </c>
    </row>
    <row r="18" spans="1:5" x14ac:dyDescent="0.35">
      <c r="A18" s="6">
        <v>33</v>
      </c>
      <c r="B18" s="6" t="s">
        <v>61</v>
      </c>
      <c r="C18" s="6" t="s">
        <v>62</v>
      </c>
      <c r="D18" s="7" t="s">
        <v>9</v>
      </c>
      <c r="E18" s="6" t="s">
        <v>8</v>
      </c>
    </row>
    <row r="19" spans="1:5" x14ac:dyDescent="0.35">
      <c r="A19" s="6">
        <v>36</v>
      </c>
      <c r="B19" s="6" t="s">
        <v>63</v>
      </c>
      <c r="C19" s="6" t="s">
        <v>64</v>
      </c>
      <c r="D19" s="7" t="s">
        <v>11</v>
      </c>
      <c r="E19" s="6" t="s">
        <v>8</v>
      </c>
    </row>
    <row r="20" spans="1:5" x14ac:dyDescent="0.35">
      <c r="A20" s="6">
        <v>92</v>
      </c>
      <c r="B20" s="6" t="s">
        <v>65</v>
      </c>
      <c r="C20" s="6" t="s">
        <v>66</v>
      </c>
      <c r="D20" s="7" t="s">
        <v>11</v>
      </c>
      <c r="E20" s="6" t="s">
        <v>8</v>
      </c>
    </row>
    <row r="21" spans="1:5" x14ac:dyDescent="0.35">
      <c r="A21">
        <v>10</v>
      </c>
      <c r="B21" t="s">
        <v>67</v>
      </c>
      <c r="C21" t="s">
        <v>68</v>
      </c>
      <c r="D21" s="3" t="s">
        <v>9</v>
      </c>
      <c r="E21" t="s">
        <v>69</v>
      </c>
    </row>
    <row r="22" spans="1:5" x14ac:dyDescent="0.35">
      <c r="A22">
        <v>11</v>
      </c>
      <c r="B22" t="s">
        <v>70</v>
      </c>
      <c r="C22" t="s">
        <v>71</v>
      </c>
      <c r="D22" s="3" t="s">
        <v>9</v>
      </c>
      <c r="E22" t="s">
        <v>69</v>
      </c>
    </row>
    <row r="23" spans="1:5" x14ac:dyDescent="0.35">
      <c r="A23">
        <v>12</v>
      </c>
      <c r="B23" t="s">
        <v>72</v>
      </c>
      <c r="C23" t="s">
        <v>73</v>
      </c>
      <c r="D23" s="3" t="s">
        <v>9</v>
      </c>
      <c r="E23" t="s">
        <v>69</v>
      </c>
    </row>
    <row r="24" spans="1:5" x14ac:dyDescent="0.35">
      <c r="A24">
        <v>13</v>
      </c>
      <c r="B24" t="s">
        <v>74</v>
      </c>
      <c r="C24" t="s">
        <v>75</v>
      </c>
      <c r="D24" s="3" t="s">
        <v>9</v>
      </c>
      <c r="E24" t="s">
        <v>69</v>
      </c>
    </row>
    <row r="25" spans="1:5" x14ac:dyDescent="0.35">
      <c r="A25">
        <v>14</v>
      </c>
      <c r="B25" t="s">
        <v>76</v>
      </c>
      <c r="C25" t="s">
        <v>77</v>
      </c>
      <c r="D25" s="3" t="s">
        <v>9</v>
      </c>
      <c r="E25" t="s">
        <v>69</v>
      </c>
    </row>
    <row r="26" spans="1:5" x14ac:dyDescent="0.35">
      <c r="A26">
        <v>15</v>
      </c>
      <c r="B26" t="s">
        <v>78</v>
      </c>
      <c r="C26" t="s">
        <v>79</v>
      </c>
      <c r="D26" s="3" t="s">
        <v>9</v>
      </c>
      <c r="E26" t="s">
        <v>69</v>
      </c>
    </row>
    <row r="27" spans="1:5" x14ac:dyDescent="0.35">
      <c r="A27">
        <v>16</v>
      </c>
      <c r="B27" t="s">
        <v>80</v>
      </c>
      <c r="C27" t="s">
        <v>81</v>
      </c>
      <c r="D27" s="3" t="s">
        <v>9</v>
      </c>
      <c r="E27" t="s">
        <v>69</v>
      </c>
    </row>
    <row r="28" spans="1:5" x14ac:dyDescent="0.35">
      <c r="A28">
        <v>17</v>
      </c>
      <c r="B28" t="s">
        <v>82</v>
      </c>
      <c r="C28" t="s">
        <v>83</v>
      </c>
      <c r="D28" s="3" t="s">
        <v>9</v>
      </c>
      <c r="E28" t="s">
        <v>69</v>
      </c>
    </row>
    <row r="29" spans="1:5" x14ac:dyDescent="0.35">
      <c r="A29">
        <v>19</v>
      </c>
      <c r="B29" t="s">
        <v>84</v>
      </c>
      <c r="C29" t="s">
        <v>85</v>
      </c>
      <c r="D29" s="3" t="s">
        <v>9</v>
      </c>
      <c r="E29" t="s">
        <v>69</v>
      </c>
    </row>
    <row r="30" spans="1:5" x14ac:dyDescent="0.35">
      <c r="A30">
        <v>20</v>
      </c>
      <c r="B30" t="s">
        <v>86</v>
      </c>
      <c r="C30" t="s">
        <v>87</v>
      </c>
      <c r="D30" s="3" t="s">
        <v>9</v>
      </c>
      <c r="E30" t="s">
        <v>69</v>
      </c>
    </row>
    <row r="31" spans="1:5" x14ac:dyDescent="0.35">
      <c r="A31">
        <v>24</v>
      </c>
      <c r="B31" t="s">
        <v>88</v>
      </c>
      <c r="C31" t="s">
        <v>89</v>
      </c>
      <c r="D31" s="3" t="s">
        <v>9</v>
      </c>
      <c r="E31" t="s">
        <v>69</v>
      </c>
    </row>
    <row r="32" spans="1:5" x14ac:dyDescent="0.35">
      <c r="A32">
        <v>86</v>
      </c>
      <c r="B32" t="s">
        <v>90</v>
      </c>
      <c r="C32" t="s">
        <v>91</v>
      </c>
      <c r="D32" s="3" t="s">
        <v>9</v>
      </c>
      <c r="E32" t="s">
        <v>69</v>
      </c>
    </row>
    <row r="33" spans="1:5" x14ac:dyDescent="0.35">
      <c r="A33">
        <v>87</v>
      </c>
      <c r="B33" t="s">
        <v>92</v>
      </c>
      <c r="C33" t="s">
        <v>93</v>
      </c>
      <c r="D33" s="3" t="s">
        <v>9</v>
      </c>
      <c r="E33" t="s">
        <v>69</v>
      </c>
    </row>
    <row r="34" spans="1:5" x14ac:dyDescent="0.35">
      <c r="A34">
        <v>88</v>
      </c>
      <c r="B34" t="s">
        <v>94</v>
      </c>
      <c r="C34" t="s">
        <v>95</v>
      </c>
      <c r="D34" s="3" t="s">
        <v>9</v>
      </c>
      <c r="E34" t="s">
        <v>69</v>
      </c>
    </row>
    <row r="35" spans="1:5" x14ac:dyDescent="0.35">
      <c r="A35">
        <v>89</v>
      </c>
      <c r="B35" t="s">
        <v>96</v>
      </c>
      <c r="C35" t="s">
        <v>97</v>
      </c>
      <c r="D35" s="3" t="s">
        <v>11</v>
      </c>
      <c r="E35" t="s">
        <v>69</v>
      </c>
    </row>
    <row r="36" spans="1:5" x14ac:dyDescent="0.35">
      <c r="A36">
        <v>91</v>
      </c>
      <c r="B36" t="s">
        <v>98</v>
      </c>
      <c r="C36" t="s">
        <v>99</v>
      </c>
      <c r="D36" s="3" t="s">
        <v>9</v>
      </c>
      <c r="E36" t="s">
        <v>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B788A-BEAC-4D69-95F1-AB20ACDE30DD}">
  <dimension ref="A1:P6"/>
  <sheetViews>
    <sheetView tabSelected="1" workbookViewId="0"/>
  </sheetViews>
  <sheetFormatPr defaultRowHeight="12.5" x14ac:dyDescent="0.25"/>
  <cols>
    <col min="1" max="1" width="14.08984375" style="11" customWidth="1"/>
    <col min="2" max="2" width="9.90625" style="11" bestFit="1" customWidth="1"/>
    <col min="3" max="3" width="19.81640625" style="11" customWidth="1"/>
    <col min="4" max="4" width="6.90625" style="11" bestFit="1" customWidth="1"/>
    <col min="5" max="5" width="6.90625" style="11" customWidth="1"/>
    <col min="6" max="6" width="9.36328125" style="11" customWidth="1"/>
    <col min="7" max="8" width="7.90625" style="11" customWidth="1"/>
    <col min="9" max="9" width="9.6328125" style="11" customWidth="1"/>
    <col min="10" max="10" width="12.08984375" style="11" customWidth="1"/>
    <col min="11" max="12" width="16.7265625" style="12" bestFit="1" customWidth="1"/>
    <col min="13" max="13" width="12.81640625" style="12" bestFit="1" customWidth="1"/>
    <col min="14" max="14" width="12" style="12" bestFit="1" customWidth="1"/>
    <col min="15" max="15" width="9.81640625" style="12" bestFit="1" customWidth="1"/>
    <col min="16" max="16" width="8.26953125" style="13" bestFit="1" customWidth="1"/>
    <col min="17" max="16384" width="8.7265625" style="11"/>
  </cols>
  <sheetData>
    <row r="1" spans="1:16" ht="13" x14ac:dyDescent="0.3">
      <c r="A1" s="8" t="s">
        <v>0</v>
      </c>
      <c r="B1" s="8" t="s">
        <v>1</v>
      </c>
      <c r="C1" s="8" t="s">
        <v>2</v>
      </c>
      <c r="D1" s="8" t="s">
        <v>106</v>
      </c>
      <c r="E1" s="8" t="s">
        <v>13</v>
      </c>
      <c r="F1" s="8" t="s">
        <v>3</v>
      </c>
      <c r="G1" s="8" t="s">
        <v>4</v>
      </c>
      <c r="H1" s="8" t="s">
        <v>104</v>
      </c>
      <c r="I1" s="8" t="s">
        <v>102</v>
      </c>
      <c r="J1" s="8" t="s">
        <v>105</v>
      </c>
      <c r="K1" s="9" t="s">
        <v>5</v>
      </c>
      <c r="L1" s="9" t="s">
        <v>6</v>
      </c>
      <c r="M1" s="9" t="s">
        <v>100</v>
      </c>
      <c r="N1" s="9" t="s">
        <v>101</v>
      </c>
      <c r="O1" s="9" t="s">
        <v>103</v>
      </c>
      <c r="P1" s="10" t="s">
        <v>7</v>
      </c>
    </row>
    <row r="2" spans="1:16" x14ac:dyDescent="0.25">
      <c r="A2" s="11" t="s">
        <v>21</v>
      </c>
      <c r="B2" s="11" t="s">
        <v>107</v>
      </c>
      <c r="C2" s="11" t="s">
        <v>112</v>
      </c>
      <c r="D2" s="11" t="s">
        <v>17</v>
      </c>
      <c r="E2" s="11" t="s">
        <v>24</v>
      </c>
      <c r="F2" s="11" t="s">
        <v>8</v>
      </c>
      <c r="G2" s="11" t="s">
        <v>10</v>
      </c>
      <c r="H2" s="11" t="s">
        <v>31</v>
      </c>
      <c r="I2" s="11" t="s">
        <v>12</v>
      </c>
      <c r="J2" s="11" t="s">
        <v>14</v>
      </c>
      <c r="K2" s="12">
        <v>45919</v>
      </c>
      <c r="L2" s="12">
        <v>45919.455682870372</v>
      </c>
      <c r="M2" s="12" t="str">
        <f t="shared" ref="M2:M3" si="0">TEXT(K2, "yyyy-mm")</f>
        <v>2025-09</v>
      </c>
      <c r="N2" s="12" t="str">
        <f t="shared" ref="N2:N3" si="1">TEXT(L2, "yyyy-mm")</f>
        <v>2025-09</v>
      </c>
      <c r="O2" s="12" t="str">
        <f t="shared" ref="O2:O3" si="2">TEXT(L2,"yyyy") &amp; "-Q" &amp; ROUNDUP(MONTH(L2)/3,0)</f>
        <v>2025-Q3</v>
      </c>
      <c r="P2" s="13">
        <v>1</v>
      </c>
    </row>
    <row r="3" spans="1:16" x14ac:dyDescent="0.25">
      <c r="A3" s="11" t="s">
        <v>21</v>
      </c>
      <c r="B3" s="11" t="s">
        <v>108</v>
      </c>
      <c r="C3" s="11" t="s">
        <v>113</v>
      </c>
      <c r="D3" s="11" t="s">
        <v>20</v>
      </c>
      <c r="E3" s="11" t="s">
        <v>24</v>
      </c>
      <c r="F3" s="11" t="s">
        <v>8</v>
      </c>
      <c r="G3" s="11" t="s">
        <v>11</v>
      </c>
      <c r="H3" s="11" t="s">
        <v>59</v>
      </c>
      <c r="I3" s="11" t="s">
        <v>12</v>
      </c>
      <c r="J3" s="11" t="s">
        <v>14</v>
      </c>
      <c r="K3" s="12">
        <v>45730</v>
      </c>
      <c r="L3" s="12">
        <v>45730.402418981481</v>
      </c>
      <c r="M3" s="12" t="str">
        <f t="shared" si="0"/>
        <v>2025-03</v>
      </c>
      <c r="N3" s="12" t="str">
        <f t="shared" si="1"/>
        <v>2025-03</v>
      </c>
      <c r="O3" s="12" t="str">
        <f t="shared" si="2"/>
        <v>2025-Q1</v>
      </c>
      <c r="P3" s="13">
        <v>3.2193518518470228</v>
      </c>
    </row>
    <row r="4" spans="1:16" x14ac:dyDescent="0.25">
      <c r="A4" s="11" t="s">
        <v>21</v>
      </c>
      <c r="B4" s="11" t="s">
        <v>109</v>
      </c>
      <c r="C4" s="11" t="s">
        <v>114</v>
      </c>
      <c r="D4" s="11" t="s">
        <v>18</v>
      </c>
      <c r="E4" s="11" t="s">
        <v>23</v>
      </c>
      <c r="F4" s="11" t="s">
        <v>25</v>
      </c>
      <c r="G4" s="11" t="s">
        <v>10</v>
      </c>
      <c r="H4" s="11" t="s">
        <v>31</v>
      </c>
      <c r="I4" s="11" t="s">
        <v>15</v>
      </c>
      <c r="J4" s="11" t="s">
        <v>15</v>
      </c>
      <c r="K4" s="12">
        <v>45911.374351851853</v>
      </c>
      <c r="L4" s="12">
        <v>45924.000821759262</v>
      </c>
      <c r="M4" s="12" t="str">
        <f t="shared" ref="M4:M6" si="3">TEXT(K4, "yyyy-mm")</f>
        <v>2025-09</v>
      </c>
      <c r="N4" s="12" t="str">
        <f t="shared" ref="N4:N6" si="4">TEXT(L4, "yyyy-mm")</f>
        <v>2025-09</v>
      </c>
      <c r="O4" s="12" t="str">
        <f t="shared" ref="O4:O6" si="5">TEXT(L4,"yyyy") &amp; "-Q" &amp; ROUNDUP(MONTH(L4)/3,0)</f>
        <v>2025-Q3</v>
      </c>
      <c r="P4" s="13">
        <v>0.82</v>
      </c>
    </row>
    <row r="5" spans="1:16" x14ac:dyDescent="0.25">
      <c r="A5" s="11" t="s">
        <v>21</v>
      </c>
      <c r="B5" s="11" t="s">
        <v>110</v>
      </c>
      <c r="C5" s="11" t="s">
        <v>115</v>
      </c>
      <c r="D5" s="11" t="s">
        <v>19</v>
      </c>
      <c r="E5" s="11" t="s">
        <v>23</v>
      </c>
      <c r="F5" s="11" t="s">
        <v>8</v>
      </c>
      <c r="G5" s="11" t="s">
        <v>9</v>
      </c>
      <c r="H5" s="11" t="s">
        <v>53</v>
      </c>
      <c r="I5" s="11" t="s">
        <v>14</v>
      </c>
      <c r="J5" s="11" t="s">
        <v>14</v>
      </c>
      <c r="K5" s="12">
        <v>45904.626481481479</v>
      </c>
      <c r="L5" s="12">
        <v>45910.421701388892</v>
      </c>
      <c r="M5" s="12" t="str">
        <f t="shared" si="3"/>
        <v>2025-09</v>
      </c>
      <c r="N5" s="12" t="str">
        <f t="shared" si="4"/>
        <v>2025-09</v>
      </c>
      <c r="O5" s="12" t="str">
        <f t="shared" si="5"/>
        <v>2025-Q3</v>
      </c>
      <c r="P5" s="13">
        <v>2.1</v>
      </c>
    </row>
    <row r="6" spans="1:16" x14ac:dyDescent="0.25">
      <c r="A6" s="11" t="s">
        <v>21</v>
      </c>
      <c r="B6" s="11" t="s">
        <v>111</v>
      </c>
      <c r="C6" s="11" t="s">
        <v>116</v>
      </c>
      <c r="D6" s="11" t="s">
        <v>16</v>
      </c>
      <c r="E6" s="11" t="s">
        <v>22</v>
      </c>
      <c r="F6" s="11" t="s">
        <v>8</v>
      </c>
      <c r="G6" s="11" t="s">
        <v>9</v>
      </c>
      <c r="H6" s="11" t="s">
        <v>53</v>
      </c>
      <c r="I6" s="11" t="s">
        <v>14</v>
      </c>
      <c r="J6" s="11" t="s">
        <v>14</v>
      </c>
      <c r="K6" s="12">
        <v>45895.468287037038</v>
      </c>
      <c r="L6" s="12">
        <v>45898.596956018519</v>
      </c>
      <c r="M6" s="12" t="str">
        <f t="shared" si="3"/>
        <v>2025-08</v>
      </c>
      <c r="N6" s="12" t="str">
        <f t="shared" si="4"/>
        <v>2025-08</v>
      </c>
      <c r="O6" s="12" t="str">
        <f t="shared" si="5"/>
        <v>2025-Q3</v>
      </c>
      <c r="P6" s="13">
        <v>3.06</v>
      </c>
    </row>
  </sheetData>
  <autoFilter ref="A1:P6" xr:uid="{138B788A-BEAC-4D69-95F1-AB20ACDE30DD}"/>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Codes</vt:lpstr>
      <vt:lpstr>RawData</vt:lpstr>
      <vt:lpstr>Codes</vt:lpstr>
      <vt:lpstr>Data</vt:lpstr>
    </vt:vector>
  </TitlesOfParts>
  <Company>Maritz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Gomez Casas, Cristian</dc:creator>
  <cp:lastModifiedBy>Gomez Casas, Cristian</cp:lastModifiedBy>
  <dcterms:created xsi:type="dcterms:W3CDTF">2025-10-14T21:45:48Z</dcterms:created>
  <dcterms:modified xsi:type="dcterms:W3CDTF">2026-06-08T17:22:07Z</dcterms:modified>
</cp:coreProperties>
</file>